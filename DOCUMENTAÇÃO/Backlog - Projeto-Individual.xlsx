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Matheus\Downloads\Projeto-Individual\DOCUMENTAÇÃO\"/>
    </mc:Choice>
  </mc:AlternateContent>
  <xr:revisionPtr revIDLastSave="0" documentId="8_{63E0B9FB-C5FF-492E-BCC7-B33538EE32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</calcChain>
</file>

<file path=xl/sharedStrings.xml><?xml version="1.0" encoding="utf-8"?>
<sst xmlns="http://schemas.openxmlformats.org/spreadsheetml/2006/main" count="102" uniqueCount="71">
  <si>
    <t>REQUISITOS PARA A PROJETO INDIVIDUAL - BACKLOG</t>
  </si>
  <si>
    <t>ÁREA</t>
  </si>
  <si>
    <t>ITENS</t>
  </si>
  <si>
    <t>REQUISITOS</t>
  </si>
  <si>
    <t>DESCRIÇÃO</t>
  </si>
  <si>
    <t>CLASSIFICAÇÃO</t>
  </si>
  <si>
    <t>STATUS</t>
  </si>
  <si>
    <t>DATA</t>
  </si>
  <si>
    <t>TAMANHO</t>
  </si>
  <si>
    <t>TAM(#)</t>
  </si>
  <si>
    <t>Prioridade</t>
  </si>
  <si>
    <t>Pesquisa &amp; Inovação</t>
  </si>
  <si>
    <t>Contexto</t>
  </si>
  <si>
    <t>ESSENCIAL</t>
  </si>
  <si>
    <t>INCOMPLETO</t>
  </si>
  <si>
    <t>Planejamento</t>
  </si>
  <si>
    <t>Criar a backlog do Projeto</t>
  </si>
  <si>
    <t>Criar a backlog do projeto</t>
  </si>
  <si>
    <t>COMPLETO</t>
  </si>
  <si>
    <t>30/10/2025</t>
  </si>
  <si>
    <t>Dashboard e indicadores</t>
  </si>
  <si>
    <t>Criar a DashBoard</t>
  </si>
  <si>
    <t>Criar a dashboard do site usando HTML/CSS/JavaScript e colocar os Gráficos com Chart JS</t>
  </si>
  <si>
    <t>Algoritmos</t>
  </si>
  <si>
    <t>Site</t>
  </si>
  <si>
    <t>Criar o site - HTML</t>
  </si>
  <si>
    <t>Criar o site usando HTML/CSS/JavaScript</t>
  </si>
  <si>
    <t>Acesso do Site</t>
  </si>
  <si>
    <t>Criar a tela de Cadastro - HTML</t>
  </si>
  <si>
    <t>Criar a tela de cadastro usando HTML /CSS/JavaScript de forma estatica</t>
  </si>
  <si>
    <t>Criar a tela de Login - HTML</t>
  </si>
  <si>
    <t>Criar a tela de login usando HTML/CSS/JavaScript de forma estatica</t>
  </si>
  <si>
    <t>TI- Tecnologia da Informacao</t>
  </si>
  <si>
    <t>Atividades Organizadas na ferramenta de Gestão</t>
  </si>
  <si>
    <t>Organizar o Trello</t>
  </si>
  <si>
    <t>Organizar o Trello com as atividades do backlog</t>
  </si>
  <si>
    <t>Uso do git (governança)</t>
  </si>
  <si>
    <t>Criar o repositório no github</t>
  </si>
  <si>
    <t>Organizar o github conforme as necessidades do projeto</t>
  </si>
  <si>
    <t>Banco de Dados</t>
  </si>
  <si>
    <t>Modelagem Lógica do Projeto</t>
  </si>
  <si>
    <t>Criar a modelagem no banco de dados</t>
  </si>
  <si>
    <t>Criar o banco de dados, relacionando as tabelas</t>
  </si>
  <si>
    <t>Modelar o banco de dados</t>
  </si>
  <si>
    <t>Modelar o banco de dados com o DER, primeira versão</t>
  </si>
  <si>
    <t>Script Banco</t>
  </si>
  <si>
    <t>Script do banco de dados</t>
  </si>
  <si>
    <t>Criar o Script do banco de dados com as tabelas</t>
  </si>
  <si>
    <t>Arquitetura de Computadores</t>
  </si>
  <si>
    <t>Cálculos Matemáticos</t>
  </si>
  <si>
    <t>Usar cálculos matemáticos</t>
  </si>
  <si>
    <t>Usar cálculos para validações e implementações de váriaveis no projeto</t>
  </si>
  <si>
    <t>Introdução a Sistemas Operacionais</t>
  </si>
  <si>
    <t>MySQL - VM</t>
  </si>
  <si>
    <t>Instalar o MySQL na VM</t>
  </si>
  <si>
    <t>Instalar e configurar o MySQL Workbench na maquina virtual linux (VMLinux)</t>
  </si>
  <si>
    <t>Criar a documantação do projeto e colocar no GitHub</t>
  </si>
  <si>
    <t>Criar Documentação do Projeto</t>
  </si>
  <si>
    <t>GG</t>
  </si>
  <si>
    <t>M</t>
  </si>
  <si>
    <t>P</t>
  </si>
  <si>
    <t>G</t>
  </si>
  <si>
    <t>Planejado</t>
  </si>
  <si>
    <t>Entregue</t>
  </si>
  <si>
    <t>Total</t>
  </si>
  <si>
    <t>Prioridades legenda</t>
  </si>
  <si>
    <t>1- Baixa</t>
  </si>
  <si>
    <t>2- Média</t>
  </si>
  <si>
    <t>3- Alta</t>
  </si>
  <si>
    <t>Falta</t>
  </si>
  <si>
    <t>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</si>
</sst>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Aptos Narrow"/>
      <charset val="1"/>
    </font>
    <font>
      <sz val="11"/>
      <color rgb="FF0000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B839F7"/>
      <name val="Aptos Narrow"/>
      <family val="2"/>
      <scheme val="minor"/>
    </font>
    <font>
      <sz val="11"/>
      <color rgb="FF43AEE2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B3C7F5"/>
        <bgColor indexed="64"/>
      </patternFill>
    </fill>
    <fill>
      <patternFill patternType="solid">
        <fgColor rgb="FF164AC4"/>
        <bgColor indexed="64"/>
      </patternFill>
    </fill>
    <fill>
      <patternFill patternType="solid">
        <fgColor rgb="FFCC60C3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CEBFB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B5E6A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8ED973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FE263"/>
        <bgColor indexed="64"/>
      </patternFill>
    </fill>
    <fill>
      <patternFill patternType="solid">
        <fgColor rgb="FFF7F6B0"/>
        <bgColor indexed="64"/>
      </patternFill>
    </fill>
    <fill>
      <patternFill patternType="solid">
        <fgColor rgb="FFF7F7D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F75E70"/>
        <bgColor indexed="64"/>
      </patternFill>
    </fill>
    <fill>
      <patternFill patternType="solid">
        <fgColor rgb="FFF2A7B0"/>
        <bgColor indexed="64"/>
      </patternFill>
    </fill>
    <fill>
      <patternFill patternType="solid">
        <fgColor rgb="FFF7DADD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393939"/>
        <bgColor rgb="FF000000"/>
      </patternFill>
    </fill>
    <fill>
      <patternFill patternType="solid">
        <fgColor rgb="FF215C98"/>
        <bgColor rgb="FF000000"/>
      </patternFill>
    </fill>
    <fill>
      <patternFill patternType="solid">
        <fgColor rgb="FF4D93D9"/>
        <bgColor rgb="FF000000"/>
      </patternFill>
    </fill>
    <fill>
      <patternFill patternType="solid">
        <fgColor rgb="FF747474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AE9F8"/>
        <bgColor rgb="FF000000"/>
      </patternFill>
    </fill>
  </fills>
  <borders count="23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2" fillId="3" borderId="4" xfId="0" applyFont="1" applyFill="1" applyBorder="1" applyAlignment="1">
      <alignment horizontal="center" vertical="center" wrapText="1"/>
    </xf>
    <xf numFmtId="0" fontId="0" fillId="6" borderId="4" xfId="0" applyFill="1" applyBorder="1" applyAlignment="1">
      <alignment horizontal="left" vertical="center" wrapText="1"/>
    </xf>
    <xf numFmtId="0" fontId="0" fillId="0" borderId="4" xfId="0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 wrapText="1"/>
    </xf>
    <xf numFmtId="0" fontId="0" fillId="12" borderId="4" xfId="0" applyFill="1" applyBorder="1" applyAlignment="1">
      <alignment horizontal="left" vertical="center" wrapText="1"/>
    </xf>
    <xf numFmtId="0" fontId="0" fillId="13" borderId="4" xfId="0" applyFill="1" applyBorder="1" applyAlignment="1">
      <alignment horizontal="left" vertical="center" wrapText="1"/>
    </xf>
    <xf numFmtId="0" fontId="0" fillId="8" borderId="4" xfId="0" applyFill="1" applyBorder="1" applyAlignment="1">
      <alignment horizontal="left" vertical="center" wrapText="1"/>
    </xf>
    <xf numFmtId="0" fontId="0" fillId="15" borderId="4" xfId="0" applyFill="1" applyBorder="1" applyAlignment="1">
      <alignment horizontal="left" vertical="center" wrapText="1"/>
    </xf>
    <xf numFmtId="0" fontId="0" fillId="17" borderId="4" xfId="0" applyFill="1" applyBorder="1" applyAlignment="1">
      <alignment horizontal="left" vertical="center" wrapText="1"/>
    </xf>
    <xf numFmtId="0" fontId="0" fillId="18" borderId="4" xfId="0" applyFill="1" applyBorder="1" applyAlignment="1">
      <alignment horizontal="left" vertical="center" wrapText="1"/>
    </xf>
    <xf numFmtId="0" fontId="0" fillId="20" borderId="4" xfId="0" applyFill="1" applyBorder="1" applyAlignment="1">
      <alignment horizontal="left" vertical="center" wrapText="1"/>
    </xf>
    <xf numFmtId="0" fontId="0" fillId="21" borderId="4" xfId="0" applyFill="1" applyBorder="1" applyAlignment="1">
      <alignment horizontal="left" vertical="center" wrapText="1"/>
    </xf>
    <xf numFmtId="0" fontId="0" fillId="23" borderId="4" xfId="0" applyFill="1" applyBorder="1" applyAlignment="1">
      <alignment horizontal="left" vertical="center" wrapText="1"/>
    </xf>
    <xf numFmtId="0" fontId="0" fillId="24" borderId="4" xfId="0" applyFill="1" applyBorder="1" applyAlignment="1">
      <alignment horizontal="left" vertical="center" wrapText="1"/>
    </xf>
    <xf numFmtId="0" fontId="3" fillId="19" borderId="8" xfId="0" applyFont="1" applyFill="1" applyBorder="1" applyAlignment="1">
      <alignment horizontal="center" vertical="center" wrapText="1"/>
    </xf>
    <xf numFmtId="0" fontId="3" fillId="22" borderId="9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9" borderId="8" xfId="0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/>
    <xf numFmtId="0" fontId="0" fillId="0" borderId="10" xfId="0" applyBorder="1"/>
    <xf numFmtId="0" fontId="0" fillId="5" borderId="5" xfId="0" applyFill="1" applyBorder="1" applyAlignment="1">
      <alignment vertical="center" wrapText="1"/>
    </xf>
    <xf numFmtId="0" fontId="0" fillId="12" borderId="4" xfId="0" applyFill="1" applyBorder="1" applyAlignment="1">
      <alignment horizontal="center" vertical="center" wrapText="1"/>
    </xf>
    <xf numFmtId="0" fontId="0" fillId="8" borderId="4" xfId="0" applyFill="1" applyBorder="1" applyAlignment="1">
      <alignment horizontal="center" vertical="center" wrapText="1"/>
    </xf>
    <xf numFmtId="0" fontId="0" fillId="17" borderId="4" xfId="0" applyFill="1" applyBorder="1" applyAlignment="1">
      <alignment horizontal="center" vertical="center" wrapText="1"/>
    </xf>
    <xf numFmtId="0" fontId="0" fillId="20" borderId="4" xfId="0" applyFill="1" applyBorder="1" applyAlignment="1">
      <alignment horizontal="center" vertical="center" wrapText="1"/>
    </xf>
    <xf numFmtId="0" fontId="0" fillId="23" borderId="4" xfId="0" applyFill="1" applyBorder="1" applyAlignment="1">
      <alignment horizontal="center" vertical="center" wrapText="1"/>
    </xf>
    <xf numFmtId="0" fontId="0" fillId="6" borderId="8" xfId="0" applyFill="1" applyBorder="1" applyAlignment="1">
      <alignment vertical="center"/>
    </xf>
    <xf numFmtId="0" fontId="5" fillId="6" borderId="11" xfId="0" applyFont="1" applyFill="1" applyBorder="1" applyAlignment="1">
      <alignment vertical="center" wrapText="1"/>
    </xf>
    <xf numFmtId="0" fontId="0" fillId="6" borderId="11" xfId="0" applyFill="1" applyBorder="1" applyAlignment="1">
      <alignment vertical="center" wrapText="1"/>
    </xf>
    <xf numFmtId="0" fontId="0" fillId="0" borderId="13" xfId="0" applyBorder="1"/>
    <xf numFmtId="0" fontId="0" fillId="5" borderId="4" xfId="0" applyFill="1" applyBorder="1" applyAlignment="1">
      <alignment vertical="center" wrapText="1"/>
    </xf>
    <xf numFmtId="14" fontId="0" fillId="10" borderId="4" xfId="0" applyNumberFormat="1" applyFill="1" applyBorder="1" applyAlignment="1">
      <alignment horizontal="center" vertical="center"/>
    </xf>
    <xf numFmtId="14" fontId="0" fillId="10" borderId="5" xfId="0" applyNumberFormat="1" applyFill="1" applyBorder="1" applyAlignment="1">
      <alignment vertical="center"/>
    </xf>
    <xf numFmtId="14" fontId="0" fillId="10" borderId="1" xfId="0" applyNumberFormat="1" applyFill="1" applyBorder="1" applyAlignment="1">
      <alignment horizontal="center" vertical="center"/>
    </xf>
    <xf numFmtId="14" fontId="0" fillId="10" borderId="7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 wrapText="1"/>
    </xf>
    <xf numFmtId="0" fontId="6" fillId="25" borderId="14" xfId="0" applyFont="1" applyFill="1" applyBorder="1" applyAlignment="1">
      <alignment horizontal="center" vertical="center" wrapText="1"/>
    </xf>
    <xf numFmtId="0" fontId="6" fillId="26" borderId="15" xfId="0" applyFont="1" applyFill="1" applyBorder="1" applyAlignment="1">
      <alignment horizontal="center" vertical="center" wrapText="1"/>
    </xf>
    <xf numFmtId="0" fontId="7" fillId="27" borderId="15" xfId="0" applyFont="1" applyFill="1" applyBorder="1" applyAlignment="1">
      <alignment horizontal="center" vertical="center" wrapText="1"/>
    </xf>
    <xf numFmtId="0" fontId="7" fillId="28" borderId="15" xfId="0" applyFont="1" applyFill="1" applyBorder="1" applyAlignment="1">
      <alignment horizontal="center" vertical="center" wrapText="1"/>
    </xf>
    <xf numFmtId="0" fontId="6" fillId="29" borderId="15" xfId="0" applyFont="1" applyFill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6" fillId="30" borderId="15" xfId="0" applyFont="1" applyFill="1" applyBorder="1" applyAlignment="1">
      <alignment horizontal="center" vertical="center" wrapText="1"/>
    </xf>
    <xf numFmtId="0" fontId="6" fillId="31" borderId="0" xfId="0" applyFont="1" applyFill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32" borderId="20" xfId="0" applyFont="1" applyFill="1" applyBorder="1" applyAlignment="1">
      <alignment horizontal="center" vertical="center" wrapText="1"/>
    </xf>
    <xf numFmtId="0" fontId="6" fillId="32" borderId="21" xfId="0" applyFont="1" applyFill="1" applyBorder="1" applyAlignment="1">
      <alignment horizontal="center" vertical="center" wrapText="1"/>
    </xf>
    <xf numFmtId="0" fontId="6" fillId="32" borderId="2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16" borderId="5" xfId="0" applyFont="1" applyFill="1" applyBorder="1" applyAlignment="1">
      <alignment horizontal="center" vertical="center" wrapText="1"/>
    </xf>
    <xf numFmtId="0" fontId="3" fillId="16" borderId="6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0" fillId="17" borderId="5" xfId="0" applyFill="1" applyBorder="1" applyAlignment="1">
      <alignment horizontal="left" vertical="center" wrapText="1"/>
    </xf>
    <xf numFmtId="0" fontId="0" fillId="17" borderId="7" xfId="0" applyFill="1" applyBorder="1" applyAlignment="1">
      <alignment horizontal="left" vertical="center" wrapText="1"/>
    </xf>
    <xf numFmtId="0" fontId="0" fillId="17" borderId="5" xfId="0" applyFill="1" applyBorder="1" applyAlignment="1">
      <alignment horizontal="center" vertical="center" wrapText="1"/>
    </xf>
    <xf numFmtId="0" fontId="0" fillId="17" borderId="7" xfId="0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 wrapText="1"/>
    </xf>
    <xf numFmtId="0" fontId="4" fillId="11" borderId="9" xfId="0" applyFont="1" applyFill="1" applyBorder="1" applyAlignment="1">
      <alignment horizontal="center" vertical="center" wrapText="1"/>
    </xf>
    <xf numFmtId="0" fontId="4" fillId="11" borderId="10" xfId="0" applyFont="1" applyFill="1" applyBorder="1" applyAlignment="1">
      <alignment horizontal="center" vertical="center" wrapText="1"/>
    </xf>
    <xf numFmtId="0" fontId="0" fillId="12" borderId="5" xfId="0" applyFill="1" applyBorder="1" applyAlignment="1">
      <alignment horizontal="center" vertical="center" wrapText="1"/>
    </xf>
    <xf numFmtId="0" fontId="0" fillId="12" borderId="7" xfId="0" applyFill="1" applyBorder="1" applyAlignment="1">
      <alignment horizontal="center" vertical="center" wrapText="1"/>
    </xf>
    <xf numFmtId="0" fontId="0" fillId="12" borderId="5" xfId="0" applyFill="1" applyBorder="1" applyAlignment="1">
      <alignment horizontal="left" vertical="center" wrapText="1"/>
    </xf>
    <xf numFmtId="0" fontId="0" fillId="12" borderId="7" xfId="0" applyFill="1" applyBorder="1" applyAlignment="1">
      <alignment horizontal="left" vertical="center" wrapText="1"/>
    </xf>
  </cellXfs>
  <cellStyles count="1"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theme="1" tint="4.9989318521683403E-2"/>
      </font>
      <fill>
        <patternFill patternType="solid">
          <bgColor rgb="FFFFEB9C"/>
        </patternFill>
      </fill>
    </dxf>
    <dxf>
      <font>
        <color theme="1"/>
      </font>
      <fill>
        <patternFill patternType="solid">
          <bgColor rgb="FFB5E6A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Planilha1!$O$2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"/>
              <c:pt idx="0">
                <c:v>165</c:v>
              </c:pt>
            </c:numLit>
          </c:cat>
          <c:val>
            <c:numRef>
              <c:f>Planilha1!$O$3:$O$4</c:f>
              <c:numCache>
                <c:formatCode>General</c:formatCode>
                <c:ptCount val="2"/>
                <c:pt idx="0">
                  <c:v>157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08-4024-BE86-57C678FEEA0E}"/>
            </c:ext>
          </c:extLst>
        </c:ser>
        <c:ser>
          <c:idx val="1"/>
          <c:order val="1"/>
          <c:tx>
            <c:strRef>
              <c:f>Planilha1!$P$2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"/>
              <c:pt idx="0">
                <c:v>165</c:v>
              </c:pt>
            </c:numLit>
          </c:cat>
          <c:val>
            <c:numRef>
              <c:f>Planilha1!$P$3:$P$4</c:f>
              <c:numCache>
                <c:formatCode>General</c:formatCode>
                <c:ptCount val="2"/>
                <c:pt idx="0">
                  <c:v>157</c:v>
                </c:pt>
                <c:pt idx="1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08-4024-BE86-57C678FEE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8950768"/>
        <c:axId val="1468952208"/>
      </c:lineChart>
      <c:catAx>
        <c:axId val="146895076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68952208"/>
        <c:crosses val="autoZero"/>
        <c:auto val="1"/>
        <c:lblAlgn val="ctr"/>
        <c:lblOffset val="100"/>
        <c:noMultiLvlLbl val="0"/>
      </c:catAx>
      <c:valAx>
        <c:axId val="146895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895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228600</xdr:colOff>
      <xdr:row>6</xdr:row>
      <xdr:rowOff>5862</xdr:rowOff>
    </xdr:from>
    <xdr:to>
      <xdr:col>18</xdr:col>
      <xdr:colOff>263769</xdr:colOff>
      <xdr:row>16</xdr:row>
      <xdr:rowOff>123092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8985745-4DFE-B0CB-0E0A-D1FA3DA1AD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tabSelected="1" zoomScale="86" zoomScaleNormal="44" workbookViewId="0">
      <selection activeCell="F12" sqref="F12"/>
    </sheetView>
  </sheetViews>
  <sheetFormatPr defaultRowHeight="24" customHeight="1" x14ac:dyDescent="0.3"/>
  <cols>
    <col min="1" max="1" width="32.77734375" bestFit="1" customWidth="1"/>
    <col min="2" max="2" width="1.88671875" bestFit="1" customWidth="1"/>
    <col min="3" max="3" width="40.77734375" bestFit="1" customWidth="1"/>
    <col min="4" max="4" width="1.88671875" bestFit="1" customWidth="1"/>
    <col min="5" max="5" width="32.33203125" bestFit="1" customWidth="1"/>
    <col min="6" max="6" width="76.44140625" bestFit="1" customWidth="1"/>
    <col min="7" max="7" width="20.109375" bestFit="1" customWidth="1"/>
    <col min="8" max="8" width="12.77734375" bestFit="1" customWidth="1"/>
    <col min="9" max="9" width="10.44140625" bestFit="1" customWidth="1"/>
    <col min="10" max="10" width="13.21875" bestFit="1" customWidth="1"/>
    <col min="11" max="11" width="9.21875" bestFit="1" customWidth="1"/>
    <col min="12" max="12" width="12.6640625" bestFit="1" customWidth="1"/>
    <col min="13" max="13" width="12.5546875" customWidth="1"/>
    <col min="14" max="14" width="11.88671875" customWidth="1"/>
    <col min="15" max="16" width="9" bestFit="1" customWidth="1"/>
  </cols>
  <sheetData>
    <row r="1" spans="1:17" ht="24" customHeight="1" x14ac:dyDescent="0.3">
      <c r="A1" s="60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17" ht="20.399999999999999" customHeight="1" x14ac:dyDescent="0.3">
      <c r="A2" s="1" t="s">
        <v>1</v>
      </c>
      <c r="B2" s="62" t="s">
        <v>2</v>
      </c>
      <c r="C2" s="63"/>
      <c r="D2" s="62" t="s">
        <v>3</v>
      </c>
      <c r="E2" s="63"/>
      <c r="F2" s="1" t="s">
        <v>4</v>
      </c>
      <c r="G2" s="1" t="s">
        <v>5</v>
      </c>
      <c r="H2" s="22" t="s">
        <v>6</v>
      </c>
      <c r="I2" s="22" t="s">
        <v>7</v>
      </c>
      <c r="J2" s="22" t="s">
        <v>8</v>
      </c>
      <c r="K2" s="1" t="s">
        <v>9</v>
      </c>
      <c r="L2" s="1" t="s">
        <v>10</v>
      </c>
      <c r="N2" s="44"/>
      <c r="O2" s="45" t="s">
        <v>62</v>
      </c>
      <c r="P2" s="46" t="s">
        <v>63</v>
      </c>
    </row>
    <row r="3" spans="1:17" ht="20.399999999999999" customHeight="1" x14ac:dyDescent="0.3">
      <c r="A3" s="64" t="s">
        <v>11</v>
      </c>
      <c r="B3" s="17">
        <v>1</v>
      </c>
      <c r="C3" s="27" t="s">
        <v>12</v>
      </c>
      <c r="D3" s="2">
        <v>1</v>
      </c>
      <c r="E3" s="2" t="s">
        <v>57</v>
      </c>
      <c r="F3" s="2" t="s">
        <v>56</v>
      </c>
      <c r="G3" s="23" t="s">
        <v>13</v>
      </c>
      <c r="H3" s="18" t="s">
        <v>18</v>
      </c>
      <c r="I3" s="38">
        <v>45967</v>
      </c>
      <c r="J3" s="43" t="s">
        <v>61</v>
      </c>
      <c r="K3" s="43">
        <v>13</v>
      </c>
      <c r="L3" s="43">
        <v>3</v>
      </c>
      <c r="N3" s="47" t="s">
        <v>64</v>
      </c>
      <c r="O3" s="48">
        <v>157</v>
      </c>
      <c r="P3" s="49">
        <v>157</v>
      </c>
    </row>
    <row r="4" spans="1:17" ht="20.399999999999999" customHeight="1" x14ac:dyDescent="0.3">
      <c r="A4" s="65"/>
      <c r="B4" s="17">
        <v>2</v>
      </c>
      <c r="C4" s="27" t="s">
        <v>15</v>
      </c>
      <c r="D4" s="2">
        <v>1</v>
      </c>
      <c r="E4" s="2" t="s">
        <v>16</v>
      </c>
      <c r="F4" s="2" t="s">
        <v>17</v>
      </c>
      <c r="G4" s="24" t="s">
        <v>13</v>
      </c>
      <c r="H4" s="19" t="s">
        <v>18</v>
      </c>
      <c r="I4" s="38" t="s">
        <v>19</v>
      </c>
      <c r="J4" s="21" t="s">
        <v>59</v>
      </c>
      <c r="K4" s="20">
        <v>8</v>
      </c>
      <c r="L4" s="4">
        <v>3</v>
      </c>
      <c r="N4" s="50" t="s">
        <v>69</v>
      </c>
      <c r="O4" s="48">
        <v>0</v>
      </c>
      <c r="P4" s="49">
        <f>SUM(P3-26)</f>
        <v>131</v>
      </c>
    </row>
    <row r="5" spans="1:17" ht="20.399999999999999" customHeight="1" x14ac:dyDescent="0.3">
      <c r="A5" s="66"/>
      <c r="B5" s="27">
        <v>3</v>
      </c>
      <c r="C5" s="37" t="s">
        <v>20</v>
      </c>
      <c r="D5" s="35">
        <v>1</v>
      </c>
      <c r="E5" s="33" t="s">
        <v>21</v>
      </c>
      <c r="F5" s="34" t="s">
        <v>22</v>
      </c>
      <c r="G5" s="3" t="s">
        <v>13</v>
      </c>
      <c r="H5" s="19" t="s">
        <v>14</v>
      </c>
      <c r="I5" s="39"/>
      <c r="J5" s="43" t="s">
        <v>58</v>
      </c>
      <c r="K5" s="43">
        <v>21</v>
      </c>
      <c r="L5" s="43">
        <v>3</v>
      </c>
      <c r="N5" s="51"/>
      <c r="O5" s="51"/>
      <c r="P5" s="51"/>
      <c r="Q5" s="51"/>
    </row>
    <row r="6" spans="1:17" ht="20.399999999999999" customHeight="1" x14ac:dyDescent="0.3">
      <c r="A6" s="76" t="s">
        <v>23</v>
      </c>
      <c r="B6" s="28">
        <v>1</v>
      </c>
      <c r="C6" s="5" t="s">
        <v>24</v>
      </c>
      <c r="D6" s="6">
        <v>1</v>
      </c>
      <c r="E6" s="6" t="s">
        <v>25</v>
      </c>
      <c r="F6" s="6" t="s">
        <v>26</v>
      </c>
      <c r="G6" s="3" t="s">
        <v>13</v>
      </c>
      <c r="H6" s="42" t="s">
        <v>14</v>
      </c>
      <c r="I6" s="40"/>
      <c r="J6" s="43" t="s">
        <v>58</v>
      </c>
      <c r="K6" s="43">
        <v>21</v>
      </c>
      <c r="L6" s="43">
        <v>3</v>
      </c>
      <c r="N6" s="52"/>
      <c r="O6" s="53"/>
      <c r="P6" s="52"/>
      <c r="Q6" s="52"/>
    </row>
    <row r="7" spans="1:17" ht="20.399999999999999" customHeight="1" x14ac:dyDescent="0.3">
      <c r="A7" s="77"/>
      <c r="B7" s="79">
        <v>2</v>
      </c>
      <c r="C7" s="81" t="s">
        <v>27</v>
      </c>
      <c r="D7" s="6">
        <v>1</v>
      </c>
      <c r="E7" s="6" t="s">
        <v>28</v>
      </c>
      <c r="F7" s="6" t="s">
        <v>29</v>
      </c>
      <c r="G7" s="3" t="s">
        <v>13</v>
      </c>
      <c r="H7" s="18" t="s">
        <v>14</v>
      </c>
      <c r="I7" s="38"/>
      <c r="J7" s="43" t="s">
        <v>59</v>
      </c>
      <c r="K7" s="43">
        <v>8</v>
      </c>
      <c r="L7" s="43">
        <v>3</v>
      </c>
      <c r="N7" s="54"/>
      <c r="O7" s="54"/>
      <c r="P7" s="52"/>
      <c r="Q7" s="52"/>
    </row>
    <row r="8" spans="1:17" ht="20.399999999999999" customHeight="1" x14ac:dyDescent="0.3">
      <c r="A8" s="78"/>
      <c r="B8" s="80"/>
      <c r="C8" s="82"/>
      <c r="D8" s="6">
        <v>2</v>
      </c>
      <c r="E8" s="6" t="s">
        <v>30</v>
      </c>
      <c r="F8" s="6" t="s">
        <v>31</v>
      </c>
      <c r="G8" s="3" t="s">
        <v>13</v>
      </c>
      <c r="H8" s="18" t="s">
        <v>14</v>
      </c>
      <c r="I8" s="38"/>
      <c r="J8" s="43" t="s">
        <v>59</v>
      </c>
      <c r="K8" s="43">
        <v>8</v>
      </c>
      <c r="L8" s="43">
        <v>3</v>
      </c>
      <c r="N8" s="54"/>
      <c r="O8" s="54"/>
      <c r="P8" s="54"/>
      <c r="Q8" s="54"/>
    </row>
    <row r="9" spans="1:17" ht="20.399999999999999" customHeight="1" x14ac:dyDescent="0.3">
      <c r="A9" s="74" t="s">
        <v>32</v>
      </c>
      <c r="B9" s="29">
        <v>1</v>
      </c>
      <c r="C9" s="7" t="s">
        <v>33</v>
      </c>
      <c r="D9" s="8">
        <v>1</v>
      </c>
      <c r="E9" s="8" t="s">
        <v>34</v>
      </c>
      <c r="F9" s="8" t="s">
        <v>35</v>
      </c>
      <c r="G9" s="3" t="s">
        <v>13</v>
      </c>
      <c r="H9" s="18" t="s">
        <v>18</v>
      </c>
      <c r="I9" s="38">
        <v>45668</v>
      </c>
      <c r="J9" s="43" t="s">
        <v>60</v>
      </c>
      <c r="K9" s="43">
        <v>5</v>
      </c>
      <c r="L9" s="43">
        <v>2</v>
      </c>
      <c r="N9" s="54"/>
      <c r="O9" s="54"/>
      <c r="P9" s="54"/>
      <c r="Q9" s="54"/>
    </row>
    <row r="10" spans="1:17" ht="20.399999999999999" customHeight="1" x14ac:dyDescent="0.3">
      <c r="A10" s="75"/>
      <c r="B10" s="29">
        <v>2</v>
      </c>
      <c r="C10" s="7" t="s">
        <v>36</v>
      </c>
      <c r="D10" s="8">
        <v>1</v>
      </c>
      <c r="E10" s="8" t="s">
        <v>37</v>
      </c>
      <c r="F10" s="8" t="s">
        <v>38</v>
      </c>
      <c r="G10" s="3" t="s">
        <v>13</v>
      </c>
      <c r="H10" s="18" t="s">
        <v>70</v>
      </c>
      <c r="I10" s="38"/>
      <c r="J10" s="20" t="s">
        <v>60</v>
      </c>
      <c r="K10" s="20">
        <v>5</v>
      </c>
      <c r="L10" s="4">
        <v>2</v>
      </c>
      <c r="N10" s="54"/>
      <c r="O10" s="54"/>
      <c r="P10" s="54"/>
      <c r="Q10" s="54"/>
    </row>
    <row r="11" spans="1:17" ht="20.399999999999999" customHeight="1" x14ac:dyDescent="0.3">
      <c r="A11" s="67" t="s">
        <v>39</v>
      </c>
      <c r="B11" s="72">
        <v>1</v>
      </c>
      <c r="C11" s="70" t="s">
        <v>40</v>
      </c>
      <c r="D11" s="10">
        <v>1</v>
      </c>
      <c r="E11" s="10" t="s">
        <v>41</v>
      </c>
      <c r="F11" s="10" t="s">
        <v>42</v>
      </c>
      <c r="G11" s="3" t="s">
        <v>13</v>
      </c>
      <c r="H11" s="18" t="s">
        <v>14</v>
      </c>
      <c r="I11" s="38"/>
      <c r="J11" s="43" t="s">
        <v>61</v>
      </c>
      <c r="K11" s="43">
        <v>13</v>
      </c>
      <c r="L11" s="43">
        <v>2</v>
      </c>
      <c r="N11" s="54"/>
      <c r="O11" s="54"/>
      <c r="P11" s="54"/>
      <c r="Q11" s="54"/>
    </row>
    <row r="12" spans="1:17" ht="20.399999999999999" customHeight="1" x14ac:dyDescent="0.3">
      <c r="A12" s="68"/>
      <c r="B12" s="73"/>
      <c r="C12" s="71"/>
      <c r="D12" s="10">
        <v>2</v>
      </c>
      <c r="E12" s="10" t="s">
        <v>43</v>
      </c>
      <c r="F12" s="10" t="s">
        <v>44</v>
      </c>
      <c r="G12" s="3" t="s">
        <v>13</v>
      </c>
      <c r="H12" s="18" t="s">
        <v>14</v>
      </c>
      <c r="I12" s="38"/>
      <c r="J12" s="43" t="s">
        <v>61</v>
      </c>
      <c r="K12" s="43">
        <v>13</v>
      </c>
      <c r="L12" s="43">
        <v>2</v>
      </c>
      <c r="N12" s="54"/>
      <c r="O12" s="54"/>
      <c r="P12" s="54"/>
      <c r="Q12" s="54"/>
    </row>
    <row r="13" spans="1:17" ht="20.399999999999999" customHeight="1" x14ac:dyDescent="0.3">
      <c r="A13" s="69"/>
      <c r="B13" s="30">
        <v>2</v>
      </c>
      <c r="C13" s="9" t="s">
        <v>45</v>
      </c>
      <c r="D13" s="10">
        <v>1</v>
      </c>
      <c r="E13" s="10" t="s">
        <v>46</v>
      </c>
      <c r="F13" s="10" t="s">
        <v>47</v>
      </c>
      <c r="G13" s="3" t="s">
        <v>13</v>
      </c>
      <c r="H13" s="18" t="s">
        <v>14</v>
      </c>
      <c r="I13" s="41"/>
      <c r="J13" s="43" t="s">
        <v>58</v>
      </c>
      <c r="K13" s="43">
        <v>21</v>
      </c>
      <c r="L13" s="43">
        <v>3</v>
      </c>
      <c r="N13" s="54"/>
      <c r="O13" s="54"/>
      <c r="P13" s="54"/>
      <c r="Q13" s="54"/>
    </row>
    <row r="14" spans="1:17" ht="20.399999999999999" customHeight="1" x14ac:dyDescent="0.3">
      <c r="A14" s="15" t="s">
        <v>48</v>
      </c>
      <c r="B14" s="31">
        <v>1</v>
      </c>
      <c r="C14" s="11" t="s">
        <v>49</v>
      </c>
      <c r="D14" s="12">
        <v>1</v>
      </c>
      <c r="E14" s="12" t="s">
        <v>50</v>
      </c>
      <c r="F14" s="12" t="s">
        <v>51</v>
      </c>
      <c r="G14" s="3" t="s">
        <v>13</v>
      </c>
      <c r="H14" s="18" t="s">
        <v>14</v>
      </c>
      <c r="I14" s="41"/>
      <c r="J14" s="43" t="s">
        <v>59</v>
      </c>
      <c r="K14" s="43">
        <v>8</v>
      </c>
      <c r="L14" s="43">
        <v>2</v>
      </c>
      <c r="N14" s="54"/>
      <c r="O14" s="54"/>
      <c r="P14" s="54"/>
      <c r="Q14" s="54"/>
    </row>
    <row r="15" spans="1:17" ht="20.399999999999999" customHeight="1" x14ac:dyDescent="0.3">
      <c r="A15" s="16" t="s">
        <v>52</v>
      </c>
      <c r="B15" s="32">
        <v>1</v>
      </c>
      <c r="C15" s="13" t="s">
        <v>53</v>
      </c>
      <c r="D15" s="14">
        <v>1</v>
      </c>
      <c r="E15" s="14" t="s">
        <v>54</v>
      </c>
      <c r="F15" s="14" t="s">
        <v>55</v>
      </c>
      <c r="G15" s="3" t="s">
        <v>13</v>
      </c>
      <c r="H15" s="18" t="s">
        <v>14</v>
      </c>
      <c r="I15" s="41"/>
      <c r="J15" s="43" t="s">
        <v>61</v>
      </c>
      <c r="K15" s="43">
        <v>13</v>
      </c>
      <c r="L15" s="43">
        <v>2</v>
      </c>
      <c r="N15" s="54"/>
      <c r="O15" s="54"/>
      <c r="P15" s="54"/>
      <c r="Q15" s="54"/>
    </row>
    <row r="16" spans="1:17" ht="24" customHeight="1" x14ac:dyDescent="0.3">
      <c r="I16" s="25"/>
      <c r="J16" s="26"/>
      <c r="N16" s="54"/>
      <c r="O16" s="54"/>
      <c r="Q16" s="54"/>
    </row>
    <row r="17" spans="8:17" ht="24" customHeight="1" x14ac:dyDescent="0.3">
      <c r="J17" s="57" t="s">
        <v>65</v>
      </c>
      <c r="K17" s="58"/>
      <c r="L17" s="59"/>
      <c r="N17" s="54"/>
      <c r="O17" s="54"/>
      <c r="P17" s="54"/>
      <c r="Q17" s="54"/>
    </row>
    <row r="18" spans="8:17" ht="24" customHeight="1" x14ac:dyDescent="0.3">
      <c r="H18" s="36"/>
      <c r="J18" s="50" t="s">
        <v>66</v>
      </c>
      <c r="K18" s="50" t="s">
        <v>67</v>
      </c>
      <c r="L18" s="50" t="s">
        <v>68</v>
      </c>
      <c r="N18" s="54"/>
      <c r="O18" s="54"/>
      <c r="P18" s="54"/>
      <c r="Q18" s="54"/>
    </row>
    <row r="19" spans="8:17" ht="24" customHeight="1" x14ac:dyDescent="0.3">
      <c r="N19" s="54"/>
      <c r="O19" s="55"/>
      <c r="P19" s="55"/>
      <c r="Q19" s="55"/>
    </row>
    <row r="20" spans="8:17" ht="24" customHeight="1" x14ac:dyDescent="0.3">
      <c r="N20" s="56"/>
    </row>
    <row r="21" spans="8:17" ht="24" customHeight="1" x14ac:dyDescent="0.3">
      <c r="N21" s="56"/>
    </row>
  </sheetData>
  <mergeCells count="12">
    <mergeCell ref="J17:L17"/>
    <mergeCell ref="A1:L1"/>
    <mergeCell ref="B2:C2"/>
    <mergeCell ref="D2:E2"/>
    <mergeCell ref="A3:A5"/>
    <mergeCell ref="A11:A13"/>
    <mergeCell ref="C11:C12"/>
    <mergeCell ref="B11:B12"/>
    <mergeCell ref="A9:A10"/>
    <mergeCell ref="A6:A8"/>
    <mergeCell ref="B7:B8"/>
    <mergeCell ref="C7:C8"/>
  </mergeCells>
  <conditionalFormatting sqref="H2:H15">
    <cfRule type="cellIs" dxfId="5" priority="1" operator="equal">
      <formula>"COMPLETO"</formula>
    </cfRule>
    <cfRule type="cellIs" dxfId="4" priority="2" operator="equal">
      <formula>"ANDAMENTO"</formula>
    </cfRule>
    <cfRule type="cellIs" dxfId="3" priority="3" operator="equal">
      <formula>"INCOMPLETO"</formula>
    </cfRule>
  </conditionalFormatting>
  <conditionalFormatting sqref="H2:L2 G2:G15">
    <cfRule type="containsText" dxfId="2" priority="4" operator="containsText" text="IMPORTANTE">
      <formula>NOT(ISERROR(SEARCH("IMPORTANTE",G2)))</formula>
    </cfRule>
    <cfRule type="containsText" dxfId="1" priority="5" operator="containsText" text="ESSENCIAL">
      <formula>NOT(ISERROR(SEARCH("ESSENCIAL",G2)))</formula>
    </cfRule>
    <cfRule type="containsText" dxfId="0" priority="6" operator="containsText" text="DESEJÁVEL">
      <formula>NOT(ISERROR(SEARCH("DESEJÁVEL",G2)))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MATHEUS DE SOUZA RODRIGUES .</cp:lastModifiedBy>
  <cp:revision/>
  <cp:lastPrinted>2025-11-07T15:01:03Z</cp:lastPrinted>
  <dcterms:created xsi:type="dcterms:W3CDTF">2025-10-31T03:26:27Z</dcterms:created>
  <dcterms:modified xsi:type="dcterms:W3CDTF">2025-11-07T15:02:05Z</dcterms:modified>
  <cp:category/>
  <cp:contentStatus/>
</cp:coreProperties>
</file>